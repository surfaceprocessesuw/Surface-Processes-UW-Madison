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ianprescott/Desktop/Undergraduate Material/"/>
    </mc:Choice>
  </mc:AlternateContent>
  <xr:revisionPtr revIDLastSave="0" documentId="8_{430887C2-CF04-874A-8A3B-E00BBE34D35F}" xr6:coauthVersionLast="47" xr6:coauthVersionMax="47" xr10:uidLastSave="{00000000-0000-0000-0000-000000000000}"/>
  <bookViews>
    <workbookView xWindow="0" yWindow="0" windowWidth="28800" windowHeight="18000" xr2:uid="{10337EE5-3157-E348-9698-E6BF152B52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1" l="1"/>
  <c r="Q40" i="1"/>
  <c r="L40" i="1"/>
  <c r="J40" i="1"/>
  <c r="D39" i="1"/>
  <c r="C42" i="1" s="1"/>
  <c r="C39" i="1"/>
  <c r="C41" i="1" s="1"/>
  <c r="C31" i="1"/>
  <c r="C29" i="1"/>
  <c r="C30" i="1" s="1"/>
  <c r="H15" i="1" s="1"/>
  <c r="H18" i="1" s="1"/>
  <c r="S26" i="1"/>
  <c r="Q26" i="1"/>
  <c r="L26" i="1"/>
  <c r="J26" i="1"/>
  <c r="D23" i="1"/>
  <c r="C23" i="1"/>
  <c r="D17" i="1"/>
  <c r="D19" i="1" s="1"/>
  <c r="C14" i="1"/>
  <c r="S12" i="1"/>
  <c r="Q12" i="1"/>
  <c r="L12" i="1"/>
  <c r="J12" i="1"/>
  <c r="C12" i="1"/>
  <c r="C26" i="1" l="1"/>
  <c r="H29" i="1"/>
  <c r="H32" i="1" s="1"/>
  <c r="H43" i="1"/>
  <c r="H46" i="1" s="1"/>
  <c r="O15" i="1"/>
  <c r="O18" i="1" s="1"/>
  <c r="O29" i="1"/>
  <c r="O32" i="1" s="1"/>
  <c r="O43" i="1"/>
  <c r="O46" i="1" s="1"/>
  <c r="C27" i="1"/>
  <c r="D27" i="1"/>
  <c r="P48" i="1" l="1"/>
  <c r="P34" i="1"/>
  <c r="I48" i="1"/>
  <c r="I34" i="1"/>
  <c r="P20" i="1"/>
  <c r="I20" i="1"/>
  <c r="P50" i="1"/>
  <c r="P36" i="1"/>
  <c r="I50" i="1"/>
  <c r="I36" i="1"/>
  <c r="P22" i="1"/>
  <c r="I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tc={0186ABEC-57BB-954F-AE4F-E17F7609ECF3}</author>
    <author>tc={8E2E7191-87D4-4340-81AF-A2E3B0E70671}</author>
    <author>Kyle Williams</author>
  </authors>
  <commentList>
    <comment ref="I11" authorId="0" shapeId="0" xr:uid="{0186ABEC-57BB-954F-AE4F-E17F7609EC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Measure from the constant water level in the funnel to where the water comes out of the compaction permeameter </t>
      </text>
    </comment>
    <comment ref="B12" authorId="1" shapeId="0" xr:uid="{8E2E7191-87D4-4340-81AF-A2E3B0E706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this to reflect the desired water content, if applicable. Otherwise, just take note of how much water you added to the sample. </t>
      </text>
    </comment>
    <comment ref="B21" authorId="2" shapeId="0" xr:uid="{1E5255A3-BA2F-B44C-93A8-955A9CCF990D}">
      <text>
        <r>
          <rPr>
            <b/>
            <sz val="9"/>
            <color rgb="FF000000"/>
            <rFont val="Tahoma"/>
            <family val="2"/>
          </rPr>
          <t>Kyle Williams: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mold, collar, wet porous stone, o rings</t>
        </r>
      </text>
    </comment>
  </commentList>
</comments>
</file>

<file path=xl/sharedStrings.xml><?xml version="1.0" encoding="utf-8"?>
<sst xmlns="http://schemas.openxmlformats.org/spreadsheetml/2006/main" count="99" uniqueCount="59">
  <si>
    <t>Expiriment Description:</t>
  </si>
  <si>
    <t>Color Key:</t>
  </si>
  <si>
    <t>Set values for this compaction permeameter (do not change)</t>
  </si>
  <si>
    <t>Expiriment Type:</t>
  </si>
  <si>
    <t>Constant Head</t>
  </si>
  <si>
    <t>Input values (must be manually added)</t>
  </si>
  <si>
    <t>Name:</t>
  </si>
  <si>
    <t>Calculated results/values (do not alter)</t>
  </si>
  <si>
    <t>Date:</t>
  </si>
  <si>
    <t>Calculated intermediate values</t>
  </si>
  <si>
    <t>Expiriment and Sample Prep:</t>
  </si>
  <si>
    <t>Prep Sediment Sample:</t>
  </si>
  <si>
    <t xml:space="preserve">This step will prep the bulk sample before it is added to the compaction permeameter. </t>
  </si>
  <si>
    <t>mass tray [g]</t>
  </si>
  <si>
    <t>Trial #1</t>
  </si>
  <si>
    <t>Trial #2</t>
  </si>
  <si>
    <t>mass dry soil + tray [g]</t>
  </si>
  <si>
    <t>time [s]</t>
  </si>
  <si>
    <t>head [cm]</t>
  </si>
  <si>
    <t>head [m]</t>
  </si>
  <si>
    <t>volume water [mL]</t>
  </si>
  <si>
    <t>volume water [m3]</t>
  </si>
  <si>
    <t>mass water to add (%3)</t>
  </si>
  <si>
    <t>mass soil + water + tray [g]</t>
  </si>
  <si>
    <t>initial water content [%]</t>
  </si>
  <si>
    <t>Hydraulic Conductivity [m/s]</t>
  </si>
  <si>
    <t>Measurements/Dimensions of Compaction Permeameter:</t>
  </si>
  <si>
    <t>specimen diameter [in], [m]</t>
  </si>
  <si>
    <t>Hydraulic Conductivity [cm/s]</t>
  </si>
  <si>
    <t>specimen length [in], [m]</t>
  </si>
  <si>
    <t>specimen volume [in3],[m3]</t>
  </si>
  <si>
    <t>porosity</t>
  </si>
  <si>
    <t>*this calculation is decent, but not perfect. If you need something more accurate you'll need the actual density of the sediment sample</t>
  </si>
  <si>
    <t>mass of mold [g]</t>
  </si>
  <si>
    <t>mass of mold and soil [g] (pre,post)</t>
  </si>
  <si>
    <t>"post test"</t>
  </si>
  <si>
    <t>mass of wet soil [g] (pre, post)</t>
  </si>
  <si>
    <t>mass of oven dry soil [g]</t>
  </si>
  <si>
    <t>Trial #3</t>
  </si>
  <si>
    <t>Trial #4</t>
  </si>
  <si>
    <t>density [kg/m^3]</t>
  </si>
  <si>
    <t>dry density [kg/m^3] (initial, final)</t>
  </si>
  <si>
    <t>area [in^2]</t>
  </si>
  <si>
    <t>A area [m^2]</t>
  </si>
  <si>
    <t>a area [m^2]</t>
  </si>
  <si>
    <t>Water Content Calculations:</t>
  </si>
  <si>
    <t>Weigh small samples of sediment before and after the comaction permeameter</t>
  </si>
  <si>
    <t>pre test</t>
  </si>
  <si>
    <t>post test</t>
  </si>
  <si>
    <t>weight tray [g]</t>
  </si>
  <si>
    <t>wet soil + tray [g]</t>
  </si>
  <si>
    <t>dry soil + tray [g]</t>
  </si>
  <si>
    <t>Trial #5</t>
  </si>
  <si>
    <t>Trial #6</t>
  </si>
  <si>
    <t>dry soil [g]</t>
  </si>
  <si>
    <t>intial water content</t>
  </si>
  <si>
    <t>final water content</t>
  </si>
  <si>
    <t>Notes:</t>
  </si>
  <si>
    <t>*Make sure you note if the volume of the sediment changed after the expiriment as well. Take a final measurement of the sample height in the mold.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</si>
</sst>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</font>
    <font>
      <sz val="11"/>
      <color rgb="FF000000"/>
      <name val="Aptos Narrow"/>
    </font>
    <font>
      <u/>
      <sz val="11"/>
      <color rgb="FF000000"/>
      <name val="Aptos Narrow"/>
    </font>
    <font>
      <i/>
      <sz val="11"/>
      <color rgb="FF000000"/>
      <name val="Aptos Narrow (Body)"/>
    </font>
    <font>
      <u/>
      <sz val="11"/>
      <color rgb="FF000000"/>
      <name val="Aptos Narrow"/>
      <family val="2"/>
    </font>
    <font>
      <sz val="10"/>
      <color rgb="FF000000"/>
      <name val="Aptos Narrow"/>
      <family val="2"/>
    </font>
    <font>
      <i/>
      <sz val="11"/>
      <color rgb="FF000000"/>
      <name val="Aptos Narrow"/>
    </font>
    <font>
      <b/>
      <u/>
      <sz val="11"/>
      <color rgb="FF000000"/>
      <name val="Aptos Narrow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2CFF1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3ECB9"/>
        <bgColor rgb="FF000000"/>
      </patternFill>
    </fill>
    <fill>
      <patternFill patternType="solid">
        <fgColor rgb="FFFFB6F6"/>
        <bgColor rgb="FF000000"/>
      </patternFill>
    </fill>
    <fill>
      <patternFill patternType="solid">
        <fgColor rgb="FFC4E7A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4" fillId="6" borderId="0" xfId="0" applyFont="1" applyFill="1" applyAlignment="1">
      <alignment vertic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wrapText="1"/>
    </xf>
    <xf numFmtId="0" fontId="2" fillId="4" borderId="0" xfId="0" applyFont="1" applyFill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4" borderId="11" xfId="0" applyFont="1" applyFill="1" applyBorder="1"/>
    <xf numFmtId="0" fontId="2" fillId="0" borderId="12" xfId="0" applyFont="1" applyBorder="1"/>
    <xf numFmtId="0" fontId="2" fillId="0" borderId="11" xfId="0" applyFont="1" applyBorder="1"/>
    <xf numFmtId="0" fontId="2" fillId="5" borderId="0" xfId="0" applyFont="1" applyFill="1"/>
    <xf numFmtId="0" fontId="7" fillId="0" borderId="0" xfId="0" applyFont="1"/>
    <xf numFmtId="0" fontId="2" fillId="3" borderId="0" xfId="0" applyFont="1" applyFill="1"/>
    <xf numFmtId="11" fontId="2" fillId="7" borderId="11" xfId="0" applyNumberFormat="1" applyFont="1" applyFill="1" applyBorder="1"/>
    <xf numFmtId="0" fontId="2" fillId="7" borderId="11" xfId="0" applyFont="1" applyFill="1" applyBorder="1"/>
    <xf numFmtId="0" fontId="2" fillId="7" borderId="0" xfId="0" applyFont="1" applyFill="1"/>
    <xf numFmtId="0" fontId="8" fillId="0" borderId="0" xfId="0" applyFont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2" fillId="0" borderId="13" xfId="0" applyFont="1" applyBorder="1"/>
    <xf numFmtId="0" fontId="2" fillId="7" borderId="14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0" xfId="0" applyFont="1"/>
    <xf numFmtId="9" fontId="2" fillId="0" borderId="0" xfId="1" applyFont="1" applyFill="1" applyBorder="1"/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YLA HUBBARD" id="{CFEC0796-162C-EE43-A402-386F602667AC}" userId="S::khubbard8@wisc.edu::eae1a1f8-3f2e-40de-9ee5-fe31e7ae20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5-03-13T14:42:15.81" personId="{CFEC0796-162C-EE43-A402-386F602667AC}" id="{0186ABEC-57BB-954F-AE4F-E17F7609ECF3}">
    <text xml:space="preserve">Measure from the constant water level in the funnel to where the water comes out of the compaction permeameter </text>
  </threadedComment>
  <threadedComment ref="B12" dT="2025-03-13T14:29:37.83" personId="{CFEC0796-162C-EE43-A402-386F602667AC}" id="{8E2E7191-87D4-4340-81AF-A2E3B0E70671}">
    <text xml:space="preserve">Change this to reflect the desired water content, if applicable. Otherwise, just take note of how much water you added to the sample.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C4F8-56D9-4F4F-85D5-EE80423676F4}">
  <dimension ref="A1:T54"/>
  <sheetViews>
    <sheetView tabSelected="1" workbookViewId="0">
      <selection activeCell="C5" sqref="C5:I5"/>
    </sheetView>
  </sheetViews>
  <sheetFormatPr baseColWidth="10" defaultRowHeight="16" x14ac:dyDescent="0.2"/>
  <cols>
    <col min="2" max="2" width="27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/>
      <c r="B2" s="2" t="s">
        <v>0</v>
      </c>
      <c r="C2" s="3"/>
      <c r="D2" s="3"/>
      <c r="E2" s="3"/>
      <c r="F2" s="3"/>
      <c r="G2" s="3"/>
      <c r="H2" s="3"/>
      <c r="I2" s="3"/>
      <c r="J2" s="1"/>
      <c r="K2" s="4" t="s">
        <v>1</v>
      </c>
      <c r="L2" s="5" t="s">
        <v>2</v>
      </c>
      <c r="M2" s="6"/>
      <c r="N2" s="6"/>
      <c r="O2" s="6"/>
      <c r="P2" s="7"/>
      <c r="Q2" s="1"/>
      <c r="R2" s="1"/>
      <c r="S2" s="1"/>
      <c r="T2" s="1"/>
    </row>
    <row r="3" spans="1:20" x14ac:dyDescent="0.2">
      <c r="A3" s="1"/>
      <c r="B3" s="2" t="s">
        <v>3</v>
      </c>
      <c r="C3" s="8" t="s">
        <v>4</v>
      </c>
      <c r="D3" s="9"/>
      <c r="E3" s="9"/>
      <c r="F3" s="9"/>
      <c r="G3" s="9"/>
      <c r="H3" s="9"/>
      <c r="I3" s="10"/>
      <c r="J3" s="1"/>
      <c r="K3" s="11"/>
      <c r="L3" s="12" t="s">
        <v>5</v>
      </c>
      <c r="M3" s="13"/>
      <c r="N3" s="13"/>
      <c r="O3" s="13"/>
      <c r="P3" s="14"/>
      <c r="Q3" s="1"/>
      <c r="R3" s="1"/>
      <c r="S3" s="1"/>
      <c r="T3" s="1"/>
    </row>
    <row r="4" spans="1:20" x14ac:dyDescent="0.2">
      <c r="A4" s="1"/>
      <c r="B4" s="2" t="s">
        <v>6</v>
      </c>
      <c r="C4" s="8"/>
      <c r="D4" s="9"/>
      <c r="E4" s="9"/>
      <c r="F4" s="9"/>
      <c r="G4" s="9"/>
      <c r="H4" s="9"/>
      <c r="I4" s="10"/>
      <c r="J4" s="1"/>
      <c r="K4" s="15"/>
      <c r="L4" s="16" t="s">
        <v>7</v>
      </c>
      <c r="M4" s="16"/>
      <c r="N4" s="16"/>
      <c r="O4" s="16"/>
      <c r="P4" s="16"/>
      <c r="Q4" s="1"/>
      <c r="R4" s="1"/>
      <c r="S4" s="1"/>
      <c r="T4" s="1"/>
    </row>
    <row r="5" spans="1:20" x14ac:dyDescent="0.2">
      <c r="A5" s="1"/>
      <c r="B5" s="2" t="s">
        <v>8</v>
      </c>
      <c r="C5" s="17"/>
      <c r="D5" s="9"/>
      <c r="E5" s="9"/>
      <c r="F5" s="9"/>
      <c r="G5" s="9"/>
      <c r="H5" s="9"/>
      <c r="I5" s="10"/>
      <c r="J5" s="1"/>
      <c r="K5" s="1"/>
      <c r="L5" s="18" t="s">
        <v>9</v>
      </c>
      <c r="M5" s="1"/>
      <c r="N5" s="1"/>
      <c r="O5" s="1"/>
      <c r="P5" s="1"/>
      <c r="Q5" s="1"/>
      <c r="R5" s="1"/>
      <c r="S5" s="1"/>
      <c r="T5" s="1"/>
    </row>
    <row r="6" spans="1:20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1"/>
      <c r="B7" s="19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1"/>
      <c r="B8" s="20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1"/>
      <c r="B9" s="21" t="s">
        <v>12</v>
      </c>
      <c r="C9" s="21"/>
      <c r="D9" s="21"/>
      <c r="E9" s="21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/>
      <c r="B10" s="1" t="s">
        <v>13</v>
      </c>
      <c r="C10" s="22"/>
      <c r="D10" s="1"/>
      <c r="E10" s="1"/>
      <c r="F10" s="1"/>
      <c r="G10" s="1"/>
      <c r="H10" s="23" t="s">
        <v>14</v>
      </c>
      <c r="I10" s="24"/>
      <c r="J10" s="24"/>
      <c r="K10" s="24"/>
      <c r="L10" s="24"/>
      <c r="M10" s="25"/>
      <c r="N10" s="1"/>
      <c r="O10" s="26" t="s">
        <v>15</v>
      </c>
      <c r="P10" s="26"/>
      <c r="Q10" s="26"/>
      <c r="R10" s="26"/>
      <c r="S10" s="26"/>
      <c r="T10" s="26"/>
    </row>
    <row r="11" spans="1:20" x14ac:dyDescent="0.2">
      <c r="A11" s="1"/>
      <c r="B11" s="1" t="s">
        <v>16</v>
      </c>
      <c r="C11" s="22"/>
      <c r="D11" s="1"/>
      <c r="E11" s="1"/>
      <c r="F11" s="1"/>
      <c r="G11" s="1"/>
      <c r="H11" s="27" t="s">
        <v>17</v>
      </c>
      <c r="I11" s="28" t="s">
        <v>18</v>
      </c>
      <c r="J11" s="28" t="s">
        <v>19</v>
      </c>
      <c r="K11" s="28" t="s">
        <v>20</v>
      </c>
      <c r="L11" s="28" t="s">
        <v>21</v>
      </c>
      <c r="M11" s="29"/>
      <c r="N11" s="1"/>
      <c r="O11" s="27" t="s">
        <v>17</v>
      </c>
      <c r="P11" s="28" t="s">
        <v>18</v>
      </c>
      <c r="Q11" s="28" t="s">
        <v>19</v>
      </c>
      <c r="R11" s="28" t="s">
        <v>20</v>
      </c>
      <c r="S11" s="28" t="s">
        <v>21</v>
      </c>
      <c r="T11" s="29"/>
    </row>
    <row r="12" spans="1:20" x14ac:dyDescent="0.2">
      <c r="A12" s="1"/>
      <c r="B12" s="1" t="s">
        <v>22</v>
      </c>
      <c r="C12" s="1">
        <f>(C11-C10)*0.03</f>
        <v>0</v>
      </c>
      <c r="D12" s="1"/>
      <c r="E12" s="1"/>
      <c r="F12" s="1"/>
      <c r="G12" s="1"/>
      <c r="H12" s="30"/>
      <c r="I12" s="22"/>
      <c r="J12" s="1">
        <f>I12/100</f>
        <v>0</v>
      </c>
      <c r="K12" s="22"/>
      <c r="L12" s="1">
        <f>K12/1000000</f>
        <v>0</v>
      </c>
      <c r="M12" s="31"/>
      <c r="N12" s="1"/>
      <c r="O12" s="30"/>
      <c r="P12" s="22"/>
      <c r="Q12" s="1">
        <f>P12/100</f>
        <v>0</v>
      </c>
      <c r="R12" s="22"/>
      <c r="S12" s="1">
        <f>R12/1000000</f>
        <v>0</v>
      </c>
      <c r="T12" s="31"/>
    </row>
    <row r="13" spans="1:20" x14ac:dyDescent="0.2">
      <c r="A13" s="1"/>
      <c r="B13" s="1" t="s">
        <v>23</v>
      </c>
      <c r="C13" s="22"/>
      <c r="D13" s="1"/>
      <c r="E13" s="1"/>
      <c r="F13" s="1"/>
      <c r="G13" s="1"/>
      <c r="H13" s="32"/>
      <c r="I13" s="1"/>
      <c r="J13" s="1"/>
      <c r="K13" s="1"/>
      <c r="L13" s="1"/>
      <c r="M13" s="31"/>
      <c r="N13" s="1"/>
      <c r="O13" s="32"/>
      <c r="P13" s="1"/>
      <c r="Q13" s="1"/>
      <c r="R13" s="1"/>
      <c r="S13" s="1"/>
      <c r="T13" s="31"/>
    </row>
    <row r="14" spans="1:20" x14ac:dyDescent="0.2">
      <c r="A14" s="1"/>
      <c r="B14" s="1" t="s">
        <v>24</v>
      </c>
      <c r="C14" s="33" t="e">
        <f>((C13-C11)/C11)*100</f>
        <v>#DIV/0!</v>
      </c>
      <c r="D14" s="1"/>
      <c r="E14" s="1"/>
      <c r="F14" s="1"/>
      <c r="G14" s="1"/>
      <c r="H14" s="32" t="s">
        <v>25</v>
      </c>
      <c r="I14" s="1"/>
      <c r="J14" s="1"/>
      <c r="K14" s="1"/>
      <c r="L14" s="1"/>
      <c r="M14" s="31"/>
      <c r="N14" s="1"/>
      <c r="O14" s="32" t="s">
        <v>25</v>
      </c>
      <c r="P14" s="1"/>
      <c r="Q14" s="1"/>
      <c r="R14" s="1"/>
      <c r="S14" s="1"/>
      <c r="T14" s="31"/>
    </row>
    <row r="15" spans="1:20" x14ac:dyDescent="0.2">
      <c r="A15" s="1"/>
      <c r="B15" s="1"/>
      <c r="C15" s="1"/>
      <c r="D15" s="1"/>
      <c r="E15" s="1"/>
      <c r="F15" s="1"/>
      <c r="G15" s="1"/>
      <c r="H15" s="32" t="e">
        <f>(L12*$D$18)/($C$30*H12*J12)</f>
        <v>#DIV/0!</v>
      </c>
      <c r="I15" s="1"/>
      <c r="J15" s="1"/>
      <c r="K15" s="1"/>
      <c r="L15" s="1"/>
      <c r="M15" s="31"/>
      <c r="N15" s="1"/>
      <c r="O15" s="32" t="e">
        <f>(S12*$D$18)/($C$30*O12*Q12)</f>
        <v>#DIV/0!</v>
      </c>
      <c r="P15" s="1"/>
      <c r="Q15" s="1"/>
      <c r="R15" s="1"/>
      <c r="S15" s="1"/>
      <c r="T15" s="31"/>
    </row>
    <row r="16" spans="1:20" x14ac:dyDescent="0.2">
      <c r="A16" s="1"/>
      <c r="B16" s="34" t="s">
        <v>26</v>
      </c>
      <c r="C16" s="1"/>
      <c r="D16" s="1"/>
      <c r="E16" s="1"/>
      <c r="F16" s="1"/>
      <c r="G16" s="1"/>
      <c r="H16" s="32"/>
      <c r="I16" s="1"/>
      <c r="J16" s="1"/>
      <c r="K16" s="1"/>
      <c r="L16" s="1"/>
      <c r="M16" s="31"/>
      <c r="N16" s="1"/>
      <c r="O16" s="32"/>
      <c r="P16" s="1"/>
      <c r="Q16" s="1"/>
      <c r="R16" s="1"/>
      <c r="S16" s="1"/>
      <c r="T16" s="31"/>
    </row>
    <row r="17" spans="1:20" x14ac:dyDescent="0.2">
      <c r="A17" s="1"/>
      <c r="B17" s="1" t="s">
        <v>27</v>
      </c>
      <c r="C17" s="35">
        <v>4</v>
      </c>
      <c r="D17" s="35">
        <f>CONVERT(C17,"in","m")</f>
        <v>0.1016</v>
      </c>
      <c r="E17" s="1"/>
      <c r="F17" s="1"/>
      <c r="G17" s="1"/>
      <c r="H17" s="32" t="s">
        <v>28</v>
      </c>
      <c r="I17" s="1"/>
      <c r="J17" s="1"/>
      <c r="K17" s="1"/>
      <c r="L17" s="1"/>
      <c r="M17" s="31"/>
      <c r="N17" s="1"/>
      <c r="O17" s="32" t="s">
        <v>28</v>
      </c>
      <c r="P17" s="1"/>
      <c r="Q17" s="1"/>
      <c r="R17" s="1"/>
      <c r="S17" s="1"/>
      <c r="T17" s="31"/>
    </row>
    <row r="18" spans="1:20" x14ac:dyDescent="0.2">
      <c r="A18" s="1"/>
      <c r="B18" s="1" t="s">
        <v>29</v>
      </c>
      <c r="C18" s="1"/>
      <c r="D18" s="22"/>
      <c r="E18" s="1"/>
      <c r="F18" s="1"/>
      <c r="G18" s="1"/>
      <c r="H18" s="36" t="e">
        <f>H15*100</f>
        <v>#DIV/0!</v>
      </c>
      <c r="I18" s="1"/>
      <c r="J18" s="1"/>
      <c r="K18" s="1"/>
      <c r="L18" s="1"/>
      <c r="M18" s="31"/>
      <c r="N18" s="1"/>
      <c r="O18" s="36" t="e">
        <f>O15*100</f>
        <v>#DIV/0!</v>
      </c>
      <c r="P18" s="1"/>
      <c r="Q18" s="1"/>
      <c r="R18" s="1"/>
      <c r="S18" s="1"/>
      <c r="T18" s="31"/>
    </row>
    <row r="19" spans="1:20" x14ac:dyDescent="0.2">
      <c r="A19" s="1"/>
      <c r="B19" s="1" t="s">
        <v>30</v>
      </c>
      <c r="C19" s="1"/>
      <c r="D19" s="1">
        <f>(D17^2*D18*PI())/4</f>
        <v>0</v>
      </c>
      <c r="E19" s="1"/>
      <c r="F19" s="1"/>
      <c r="G19" s="1"/>
      <c r="H19" s="32"/>
      <c r="I19" s="1"/>
      <c r="J19" s="1"/>
      <c r="K19" s="1"/>
      <c r="L19" s="1"/>
      <c r="M19" s="31"/>
      <c r="N19" s="1"/>
      <c r="O19" s="32"/>
      <c r="P19" s="1"/>
      <c r="Q19" s="1"/>
      <c r="R19" s="1"/>
      <c r="S19" s="1"/>
      <c r="T19" s="31"/>
    </row>
    <row r="20" spans="1:20" x14ac:dyDescent="0.2">
      <c r="A20" s="1"/>
      <c r="B20" s="1"/>
      <c r="C20" s="1"/>
      <c r="D20" s="1"/>
      <c r="E20" s="1"/>
      <c r="F20" s="1"/>
      <c r="G20" s="1"/>
      <c r="H20" s="37" t="s">
        <v>31</v>
      </c>
      <c r="I20" s="38" t="e">
        <f>1-($C$27/(2.7*1000))</f>
        <v>#DIV/0!</v>
      </c>
      <c r="J20" s="39" t="s">
        <v>32</v>
      </c>
      <c r="K20" s="39"/>
      <c r="L20" s="39"/>
      <c r="M20" s="40"/>
      <c r="N20" s="1"/>
      <c r="O20" s="37" t="s">
        <v>31</v>
      </c>
      <c r="P20" s="38" t="e">
        <f>1-($C$27/(2.7*1000))</f>
        <v>#DIV/0!</v>
      </c>
      <c r="Q20" s="1"/>
      <c r="R20" s="1"/>
      <c r="S20" s="1"/>
      <c r="T20" s="31"/>
    </row>
    <row r="21" spans="1:20" x14ac:dyDescent="0.2">
      <c r="A21" s="1"/>
      <c r="B21" s="1" t="s">
        <v>33</v>
      </c>
      <c r="C21" s="22"/>
      <c r="D21" s="1"/>
      <c r="E21" s="1"/>
      <c r="F21" s="1"/>
      <c r="G21" s="1"/>
      <c r="H21" s="32"/>
      <c r="I21" s="1"/>
      <c r="J21" s="39"/>
      <c r="K21" s="39"/>
      <c r="L21" s="39"/>
      <c r="M21" s="40"/>
      <c r="N21" s="1"/>
      <c r="O21" s="32"/>
      <c r="P21" s="1"/>
      <c r="Q21" s="1"/>
      <c r="R21" s="1"/>
      <c r="S21" s="1"/>
      <c r="T21" s="31"/>
    </row>
    <row r="22" spans="1:20" x14ac:dyDescent="0.2">
      <c r="A22" s="1"/>
      <c r="B22" s="1" t="s">
        <v>34</v>
      </c>
      <c r="C22" s="22"/>
      <c r="D22" s="22"/>
      <c r="E22" s="1"/>
      <c r="F22" s="1"/>
      <c r="G22" s="1"/>
      <c r="H22" s="41" t="s">
        <v>35</v>
      </c>
      <c r="I22" s="42" t="e">
        <f>1-($D$27/(2.7*1000))</f>
        <v>#DIV/0!</v>
      </c>
      <c r="J22" s="43"/>
      <c r="K22" s="43"/>
      <c r="L22" s="43"/>
      <c r="M22" s="44"/>
      <c r="N22" s="1"/>
      <c r="O22" s="41"/>
      <c r="P22" s="42" t="e">
        <f>1-($D$27/(2.7*1000))</f>
        <v>#DIV/0!</v>
      </c>
      <c r="Q22" s="43"/>
      <c r="R22" s="43"/>
      <c r="S22" s="43"/>
      <c r="T22" s="44"/>
    </row>
    <row r="23" spans="1:20" x14ac:dyDescent="0.2">
      <c r="A23" s="1"/>
      <c r="B23" s="1" t="s">
        <v>36</v>
      </c>
      <c r="C23" s="1">
        <f>C22-C21</f>
        <v>0</v>
      </c>
      <c r="D23" s="1">
        <f>D22-C21</f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1"/>
      <c r="B24" s="1" t="s">
        <v>37</v>
      </c>
      <c r="C24" s="1"/>
      <c r="D24" s="22"/>
      <c r="E24" s="1"/>
      <c r="F24" s="1"/>
      <c r="G24" s="1"/>
      <c r="H24" s="45" t="s">
        <v>38</v>
      </c>
      <c r="I24" s="46"/>
      <c r="J24" s="46"/>
      <c r="K24" s="46"/>
      <c r="L24" s="46"/>
      <c r="M24" s="47"/>
      <c r="N24" s="1"/>
      <c r="O24" s="48" t="s">
        <v>39</v>
      </c>
      <c r="P24" s="49"/>
      <c r="Q24" s="49"/>
      <c r="R24" s="49"/>
      <c r="S24" s="49"/>
      <c r="T24" s="50"/>
    </row>
    <row r="25" spans="1:20" x14ac:dyDescent="0.2">
      <c r="A25" s="1"/>
      <c r="B25" s="1"/>
      <c r="C25" s="1"/>
      <c r="D25" s="1"/>
      <c r="E25" s="1"/>
      <c r="F25" s="1"/>
      <c r="G25" s="1"/>
      <c r="H25" s="32" t="s">
        <v>17</v>
      </c>
      <c r="I25" s="1" t="s">
        <v>18</v>
      </c>
      <c r="J25" s="1" t="s">
        <v>19</v>
      </c>
      <c r="K25" s="1" t="s">
        <v>20</v>
      </c>
      <c r="L25" s="1" t="s">
        <v>21</v>
      </c>
      <c r="M25" s="31"/>
      <c r="N25" s="1"/>
      <c r="O25" s="27" t="s">
        <v>17</v>
      </c>
      <c r="P25" s="28" t="s">
        <v>18</v>
      </c>
      <c r="Q25" s="28" t="s">
        <v>19</v>
      </c>
      <c r="R25" s="28" t="s">
        <v>20</v>
      </c>
      <c r="S25" s="28" t="s">
        <v>21</v>
      </c>
      <c r="T25" s="29"/>
    </row>
    <row r="26" spans="1:20" x14ac:dyDescent="0.2">
      <c r="A26" s="1"/>
      <c r="B26" s="1" t="s">
        <v>40</v>
      </c>
      <c r="C26" s="1" t="e">
        <f>(C23/D19)/1000</f>
        <v>#DIV/0!</v>
      </c>
      <c r="D26" s="1"/>
      <c r="E26" s="1"/>
      <c r="F26" s="1"/>
      <c r="G26" s="1"/>
      <c r="H26" s="30"/>
      <c r="I26" s="22"/>
      <c r="J26" s="1">
        <f>I26/100</f>
        <v>0</v>
      </c>
      <c r="K26" s="22"/>
      <c r="L26" s="1">
        <f>K26/1000000</f>
        <v>0</v>
      </c>
      <c r="M26" s="31"/>
      <c r="N26" s="1"/>
      <c r="O26" s="30"/>
      <c r="P26" s="22"/>
      <c r="Q26" s="1">
        <f>P26/100</f>
        <v>0</v>
      </c>
      <c r="R26" s="22"/>
      <c r="S26" s="1">
        <f>R26/1000000</f>
        <v>0</v>
      </c>
      <c r="T26" s="31"/>
    </row>
    <row r="27" spans="1:20" x14ac:dyDescent="0.2">
      <c r="A27" s="1"/>
      <c r="B27" s="1" t="s">
        <v>41</v>
      </c>
      <c r="C27" s="1" t="e">
        <f>(C23/((1+C41)*D19))/1000</f>
        <v>#DIV/0!</v>
      </c>
      <c r="D27" s="1" t="e">
        <f>(C23/((1+C42)*D19))/1000</f>
        <v>#DIV/0!</v>
      </c>
      <c r="E27" s="1"/>
      <c r="F27" s="1"/>
      <c r="G27" s="1"/>
      <c r="H27" s="32"/>
      <c r="I27" s="1"/>
      <c r="J27" s="1"/>
      <c r="K27" s="1"/>
      <c r="L27" s="1"/>
      <c r="M27" s="31"/>
      <c r="N27" s="1"/>
      <c r="O27" s="32"/>
      <c r="P27" s="1"/>
      <c r="Q27" s="1"/>
      <c r="R27" s="1"/>
      <c r="S27" s="1"/>
      <c r="T27" s="31"/>
    </row>
    <row r="28" spans="1:20" x14ac:dyDescent="0.2">
      <c r="A28" s="1"/>
      <c r="B28" s="1"/>
      <c r="C28" s="1"/>
      <c r="D28" s="1"/>
      <c r="E28" s="1"/>
      <c r="F28" s="1"/>
      <c r="G28" s="1"/>
      <c r="H28" s="32" t="s">
        <v>25</v>
      </c>
      <c r="I28" s="1"/>
      <c r="J28" s="1"/>
      <c r="K28" s="1"/>
      <c r="L28" s="1"/>
      <c r="M28" s="31"/>
      <c r="N28" s="1"/>
      <c r="O28" s="32" t="s">
        <v>25</v>
      </c>
      <c r="P28" s="1"/>
      <c r="Q28" s="1"/>
      <c r="R28" s="1"/>
      <c r="S28" s="1"/>
      <c r="T28" s="31"/>
    </row>
    <row r="29" spans="1:20" x14ac:dyDescent="0.2">
      <c r="A29" s="1"/>
      <c r="B29" s="1" t="s">
        <v>42</v>
      </c>
      <c r="C29" s="1">
        <f>PI()*(C17/2)^2</f>
        <v>12.566370614359172</v>
      </c>
      <c r="D29" s="1"/>
      <c r="E29" s="1"/>
      <c r="F29" s="1"/>
      <c r="G29" s="1"/>
      <c r="H29" s="32" t="e">
        <f>(L26*$D$18)/($C$30*H26*J26)</f>
        <v>#DIV/0!</v>
      </c>
      <c r="I29" s="1"/>
      <c r="J29" s="1"/>
      <c r="K29" s="1"/>
      <c r="L29" s="1"/>
      <c r="M29" s="31"/>
      <c r="N29" s="1"/>
      <c r="O29" s="32" t="e">
        <f>(S26*$D$18)/($C$30*O26*Q26)</f>
        <v>#DIV/0!</v>
      </c>
      <c r="P29" s="1"/>
      <c r="Q29" s="1"/>
      <c r="R29" s="1"/>
      <c r="S29" s="1"/>
      <c r="T29" s="31"/>
    </row>
    <row r="30" spans="1:20" x14ac:dyDescent="0.2">
      <c r="A30" s="1"/>
      <c r="B30" s="1" t="s">
        <v>43</v>
      </c>
      <c r="C30" s="1">
        <f>CONVERT(C29,"in^2","m^2")</f>
        <v>8.1073196655599648E-3</v>
      </c>
      <c r="D30" s="1"/>
      <c r="E30" s="1"/>
      <c r="F30" s="1"/>
      <c r="G30" s="1"/>
      <c r="H30" s="32"/>
      <c r="I30" s="1"/>
      <c r="J30" s="1"/>
      <c r="K30" s="1"/>
      <c r="L30" s="1"/>
      <c r="M30" s="31"/>
      <c r="N30" s="1"/>
      <c r="O30" s="32"/>
      <c r="P30" s="1"/>
      <c r="Q30" s="1"/>
      <c r="R30" s="1"/>
      <c r="S30" s="1"/>
      <c r="T30" s="31"/>
    </row>
    <row r="31" spans="1:20" x14ac:dyDescent="0.2">
      <c r="A31" s="1"/>
      <c r="B31" s="1" t="s">
        <v>44</v>
      </c>
      <c r="C31" s="1">
        <f>(PI()*(3.5/2)^2)/1000^2</f>
        <v>9.6211275016187413E-6</v>
      </c>
      <c r="D31" s="1"/>
      <c r="E31" s="1"/>
      <c r="F31" s="1"/>
      <c r="G31" s="1"/>
      <c r="H31" s="32" t="s">
        <v>28</v>
      </c>
      <c r="I31" s="1"/>
      <c r="J31" s="1"/>
      <c r="K31" s="1"/>
      <c r="L31" s="1"/>
      <c r="M31" s="31"/>
      <c r="N31" s="1"/>
      <c r="O31" s="32" t="s">
        <v>28</v>
      </c>
      <c r="P31" s="1"/>
      <c r="Q31" s="1"/>
      <c r="R31" s="1"/>
      <c r="S31" s="1"/>
      <c r="T31" s="31"/>
    </row>
    <row r="32" spans="1:20" x14ac:dyDescent="0.2">
      <c r="A32" s="1"/>
      <c r="B32" s="1"/>
      <c r="C32" s="1"/>
      <c r="D32" s="1"/>
      <c r="E32" s="1"/>
      <c r="F32" s="1"/>
      <c r="G32" s="1"/>
      <c r="H32" s="36" t="e">
        <f>H29*100</f>
        <v>#DIV/0!</v>
      </c>
      <c r="I32" s="1"/>
      <c r="J32" s="1"/>
      <c r="K32" s="1"/>
      <c r="L32" s="1"/>
      <c r="M32" s="31"/>
      <c r="N32" s="1"/>
      <c r="O32" s="36" t="e">
        <f>O29*100</f>
        <v>#DIV/0!</v>
      </c>
      <c r="P32" s="1"/>
      <c r="Q32" s="1"/>
      <c r="R32" s="1"/>
      <c r="S32" s="1"/>
      <c r="T32" s="31"/>
    </row>
    <row r="33" spans="1:20" x14ac:dyDescent="0.2">
      <c r="A33" s="1"/>
      <c r="B33" s="34" t="s">
        <v>45</v>
      </c>
      <c r="C33" s="1"/>
      <c r="D33" s="1"/>
      <c r="E33" s="1"/>
      <c r="F33" s="1"/>
      <c r="G33" s="1"/>
      <c r="H33" s="32"/>
      <c r="I33" s="1"/>
      <c r="J33" s="1"/>
      <c r="K33" s="1"/>
      <c r="L33" s="1"/>
      <c r="M33" s="31"/>
      <c r="N33" s="1"/>
      <c r="O33" s="32"/>
      <c r="P33" s="1"/>
      <c r="Q33" s="1"/>
      <c r="R33" s="1"/>
      <c r="S33" s="1"/>
      <c r="T33" s="31"/>
    </row>
    <row r="34" spans="1:20" x14ac:dyDescent="0.2">
      <c r="A34" s="1"/>
      <c r="B34" s="51" t="s">
        <v>46</v>
      </c>
      <c r="C34" s="1"/>
      <c r="D34" s="1"/>
      <c r="E34" s="1"/>
      <c r="F34" s="1"/>
      <c r="G34" s="1"/>
      <c r="H34" s="37" t="s">
        <v>31</v>
      </c>
      <c r="I34" s="38" t="e">
        <f>1-($C$27/(2.7*1000))</f>
        <v>#DIV/0!</v>
      </c>
      <c r="J34" s="1"/>
      <c r="K34" s="1"/>
      <c r="L34" s="1"/>
      <c r="M34" s="31"/>
      <c r="N34" s="1"/>
      <c r="O34" s="37" t="s">
        <v>31</v>
      </c>
      <c r="P34" s="38" t="e">
        <f>1-($C$27/(2.7*1000))</f>
        <v>#DIV/0!</v>
      </c>
      <c r="Q34" s="1"/>
      <c r="R34" s="1"/>
      <c r="S34" s="1"/>
      <c r="T34" s="31"/>
    </row>
    <row r="35" spans="1:20" x14ac:dyDescent="0.2">
      <c r="A35" s="1"/>
      <c r="B35" s="1"/>
      <c r="C35" s="43" t="s">
        <v>47</v>
      </c>
      <c r="D35" s="43" t="s">
        <v>48</v>
      </c>
      <c r="E35" s="1"/>
      <c r="F35" s="1"/>
      <c r="G35" s="1"/>
      <c r="H35" s="32"/>
      <c r="I35" s="1"/>
      <c r="J35" s="1"/>
      <c r="K35" s="1"/>
      <c r="L35" s="1"/>
      <c r="M35" s="31"/>
      <c r="N35" s="1"/>
      <c r="O35" s="32"/>
      <c r="P35" s="1"/>
      <c r="Q35" s="1"/>
      <c r="R35" s="1"/>
      <c r="S35" s="1"/>
      <c r="T35" s="31"/>
    </row>
    <row r="36" spans="1:20" x14ac:dyDescent="0.2">
      <c r="A36" s="1"/>
      <c r="B36" s="1" t="s">
        <v>49</v>
      </c>
      <c r="C36" s="22"/>
      <c r="D36" s="22"/>
      <c r="E36" s="1"/>
      <c r="F36" s="1"/>
      <c r="G36" s="1"/>
      <c r="H36" s="41"/>
      <c r="I36" s="42" t="e">
        <f>1-($D$27/(2.7*1000))</f>
        <v>#DIV/0!</v>
      </c>
      <c r="J36" s="43"/>
      <c r="K36" s="43"/>
      <c r="L36" s="43"/>
      <c r="M36" s="44"/>
      <c r="N36" s="1"/>
      <c r="O36" s="41"/>
      <c r="P36" s="42" t="e">
        <f>1-($D$27/(2.7*1000))</f>
        <v>#DIV/0!</v>
      </c>
      <c r="Q36" s="43"/>
      <c r="R36" s="43"/>
      <c r="S36" s="43"/>
      <c r="T36" s="44"/>
    </row>
    <row r="37" spans="1:20" x14ac:dyDescent="0.2">
      <c r="A37" s="1"/>
      <c r="B37" s="1" t="s">
        <v>50</v>
      </c>
      <c r="C37" s="22"/>
      <c r="D37" s="2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 t="s">
        <v>51</v>
      </c>
      <c r="C38" s="22"/>
      <c r="D38" s="22"/>
      <c r="E38" s="1"/>
      <c r="F38" s="1"/>
      <c r="G38" s="1"/>
      <c r="H38" s="45" t="s">
        <v>52</v>
      </c>
      <c r="I38" s="46"/>
      <c r="J38" s="46"/>
      <c r="K38" s="46"/>
      <c r="L38" s="46"/>
      <c r="M38" s="47"/>
      <c r="N38" s="1"/>
      <c r="O38" s="45" t="s">
        <v>53</v>
      </c>
      <c r="P38" s="46"/>
      <c r="Q38" s="46"/>
      <c r="R38" s="46"/>
      <c r="S38" s="46"/>
      <c r="T38" s="47"/>
    </row>
    <row r="39" spans="1:20" x14ac:dyDescent="0.2">
      <c r="A39" s="1"/>
      <c r="B39" s="1" t="s">
        <v>54</v>
      </c>
      <c r="C39" s="1">
        <f>C38-C36</f>
        <v>0</v>
      </c>
      <c r="D39" s="1">
        <f>D38-D36</f>
        <v>0</v>
      </c>
      <c r="E39" s="1"/>
      <c r="F39" s="1"/>
      <c r="G39" s="1"/>
      <c r="H39" s="27" t="s">
        <v>17</v>
      </c>
      <c r="I39" s="28" t="s">
        <v>18</v>
      </c>
      <c r="J39" s="28" t="s">
        <v>19</v>
      </c>
      <c r="K39" s="28" t="s">
        <v>20</v>
      </c>
      <c r="L39" s="28" t="s">
        <v>21</v>
      </c>
      <c r="M39" s="29"/>
      <c r="N39" s="1"/>
      <c r="O39" s="27" t="s">
        <v>17</v>
      </c>
      <c r="P39" s="28" t="s">
        <v>18</v>
      </c>
      <c r="Q39" s="28" t="s">
        <v>19</v>
      </c>
      <c r="R39" s="28" t="s">
        <v>20</v>
      </c>
      <c r="S39" s="28" t="s">
        <v>21</v>
      </c>
      <c r="T39" s="29"/>
    </row>
    <row r="40" spans="1:20" x14ac:dyDescent="0.2">
      <c r="A40" s="1"/>
      <c r="B40" s="1"/>
      <c r="C40" s="1"/>
      <c r="D40" s="1"/>
      <c r="E40" s="1"/>
      <c r="F40" s="1"/>
      <c r="G40" s="1"/>
      <c r="H40" s="30"/>
      <c r="I40" s="22"/>
      <c r="J40" s="1">
        <f>I40/100</f>
        <v>0</v>
      </c>
      <c r="K40" s="22"/>
      <c r="L40" s="1">
        <f>K40/1000000</f>
        <v>0</v>
      </c>
      <c r="M40" s="31"/>
      <c r="N40" s="1"/>
      <c r="O40" s="30"/>
      <c r="P40" s="22"/>
      <c r="Q40" s="1">
        <f>P40/100</f>
        <v>0</v>
      </c>
      <c r="R40" s="22"/>
      <c r="S40" s="1">
        <f>R40/1000000</f>
        <v>0</v>
      </c>
      <c r="T40" s="31"/>
    </row>
    <row r="41" spans="1:20" x14ac:dyDescent="0.2">
      <c r="A41" s="1"/>
      <c r="B41" s="1" t="s">
        <v>55</v>
      </c>
      <c r="C41" s="52" t="e">
        <f>(C37-C38)/C39</f>
        <v>#DIV/0!</v>
      </c>
      <c r="D41" s="1"/>
      <c r="E41" s="1"/>
      <c r="F41" s="1"/>
      <c r="G41" s="1"/>
      <c r="H41" s="32"/>
      <c r="I41" s="1"/>
      <c r="J41" s="1"/>
      <c r="K41" s="1"/>
      <c r="L41" s="1"/>
      <c r="M41" s="31"/>
      <c r="N41" s="1"/>
      <c r="O41" s="32"/>
      <c r="P41" s="1"/>
      <c r="Q41" s="1"/>
      <c r="R41" s="1"/>
      <c r="S41" s="1"/>
      <c r="T41" s="31"/>
    </row>
    <row r="42" spans="1:20" x14ac:dyDescent="0.2">
      <c r="A42" s="1"/>
      <c r="B42" s="1" t="s">
        <v>56</v>
      </c>
      <c r="C42" s="52" t="e">
        <f>(D37-D38)/D39</f>
        <v>#DIV/0!</v>
      </c>
      <c r="D42" s="1"/>
      <c r="E42" s="1"/>
      <c r="F42" s="1"/>
      <c r="G42" s="1"/>
      <c r="H42" s="32" t="s">
        <v>25</v>
      </c>
      <c r="I42" s="1"/>
      <c r="J42" s="1"/>
      <c r="K42" s="1"/>
      <c r="L42" s="1"/>
      <c r="M42" s="31"/>
      <c r="N42" s="1"/>
      <c r="O42" s="32" t="s">
        <v>25</v>
      </c>
      <c r="P42" s="1"/>
      <c r="Q42" s="1"/>
      <c r="R42" s="1"/>
      <c r="S42" s="1"/>
      <c r="T42" s="31"/>
    </row>
    <row r="43" spans="1:20" x14ac:dyDescent="0.2">
      <c r="A43" s="1"/>
      <c r="B43" s="1"/>
      <c r="C43" s="1"/>
      <c r="D43" s="1"/>
      <c r="E43" s="1"/>
      <c r="F43" s="1"/>
      <c r="G43" s="1"/>
      <c r="H43" s="32" t="e">
        <f>(L40*$D$18)/($C$30*H40*J40)</f>
        <v>#DIV/0!</v>
      </c>
      <c r="I43" s="1"/>
      <c r="J43" s="1"/>
      <c r="K43" s="1"/>
      <c r="L43" s="1"/>
      <c r="M43" s="31"/>
      <c r="N43" s="1"/>
      <c r="O43" s="32" t="e">
        <f>(S40*$D$18)/($C$30*O40*Q40)</f>
        <v>#DIV/0!</v>
      </c>
      <c r="P43" s="1"/>
      <c r="Q43" s="1"/>
      <c r="R43" s="1"/>
      <c r="S43" s="1"/>
      <c r="T43" s="31"/>
    </row>
    <row r="44" spans="1:20" x14ac:dyDescent="0.2">
      <c r="A44" s="1"/>
      <c r="B44" s="53" t="s">
        <v>57</v>
      </c>
      <c r="C44" s="53"/>
      <c r="D44" s="53"/>
      <c r="E44" s="53"/>
      <c r="F44" s="53"/>
      <c r="G44" s="1"/>
      <c r="H44" s="32"/>
      <c r="I44" s="1"/>
      <c r="J44" s="1"/>
      <c r="K44" s="1"/>
      <c r="L44" s="1"/>
      <c r="M44" s="31"/>
      <c r="N44" s="1"/>
      <c r="O44" s="32"/>
      <c r="P44" s="1"/>
      <c r="Q44" s="1"/>
      <c r="R44" s="1"/>
      <c r="S44" s="1"/>
      <c r="T44" s="31"/>
    </row>
    <row r="45" spans="1:20" x14ac:dyDescent="0.2">
      <c r="A45" s="1"/>
      <c r="B45" s="54" t="s">
        <v>58</v>
      </c>
      <c r="C45" s="54"/>
      <c r="D45" s="54"/>
      <c r="E45" s="54"/>
      <c r="F45" s="54"/>
      <c r="G45" s="1"/>
      <c r="H45" s="32" t="s">
        <v>28</v>
      </c>
      <c r="I45" s="1"/>
      <c r="J45" s="1"/>
      <c r="K45" s="1"/>
      <c r="L45" s="1"/>
      <c r="M45" s="31"/>
      <c r="N45" s="1"/>
      <c r="O45" s="32" t="s">
        <v>28</v>
      </c>
      <c r="P45" s="1"/>
      <c r="Q45" s="1"/>
      <c r="R45" s="1"/>
      <c r="S45" s="1"/>
      <c r="T45" s="31"/>
    </row>
    <row r="46" spans="1:20" x14ac:dyDescent="0.2">
      <c r="A46" s="1"/>
      <c r="B46" s="54"/>
      <c r="C46" s="54"/>
      <c r="D46" s="54"/>
      <c r="E46" s="54"/>
      <c r="F46" s="54"/>
      <c r="G46" s="1"/>
      <c r="H46" s="36" t="e">
        <f>H43*100</f>
        <v>#DIV/0!</v>
      </c>
      <c r="I46" s="1"/>
      <c r="J46" s="1"/>
      <c r="K46" s="1"/>
      <c r="L46" s="1"/>
      <c r="M46" s="31"/>
      <c r="N46" s="1"/>
      <c r="O46" s="36" t="e">
        <f>O43*100</f>
        <v>#DIV/0!</v>
      </c>
      <c r="P46" s="1"/>
      <c r="Q46" s="1"/>
      <c r="R46" s="1"/>
      <c r="S46" s="1"/>
      <c r="T46" s="31"/>
    </row>
    <row r="47" spans="1:20" x14ac:dyDescent="0.2">
      <c r="A47" s="1"/>
      <c r="B47" s="54"/>
      <c r="C47" s="54"/>
      <c r="D47" s="54"/>
      <c r="E47" s="54"/>
      <c r="F47" s="54"/>
      <c r="G47" s="1"/>
      <c r="H47" s="32"/>
      <c r="I47" s="1"/>
      <c r="J47" s="1"/>
      <c r="K47" s="1"/>
      <c r="L47" s="1"/>
      <c r="M47" s="31"/>
      <c r="N47" s="1"/>
      <c r="O47" s="32"/>
      <c r="P47" s="1"/>
      <c r="Q47" s="1"/>
      <c r="R47" s="1"/>
      <c r="S47" s="1"/>
      <c r="T47" s="31"/>
    </row>
    <row r="48" spans="1:20" x14ac:dyDescent="0.2">
      <c r="A48" s="1"/>
      <c r="B48" s="54"/>
      <c r="C48" s="54"/>
      <c r="D48" s="54"/>
      <c r="E48" s="54"/>
      <c r="F48" s="54"/>
      <c r="G48" s="1"/>
      <c r="H48" s="37" t="s">
        <v>31</v>
      </c>
      <c r="I48" s="38" t="e">
        <f>1-($C$27/(2.7*1000))</f>
        <v>#DIV/0!</v>
      </c>
      <c r="J48" s="1"/>
      <c r="K48" s="1"/>
      <c r="L48" s="1"/>
      <c r="M48" s="31"/>
      <c r="N48" s="1"/>
      <c r="O48" s="37" t="s">
        <v>31</v>
      </c>
      <c r="P48" s="38" t="e">
        <f>1-($C$27/(2.7*1000))</f>
        <v>#DIV/0!</v>
      </c>
      <c r="Q48" s="1"/>
      <c r="R48" s="1"/>
      <c r="S48" s="1"/>
      <c r="T48" s="31"/>
    </row>
    <row r="49" spans="1:20" x14ac:dyDescent="0.2">
      <c r="A49" s="1"/>
      <c r="B49" s="54"/>
      <c r="C49" s="54"/>
      <c r="D49" s="54"/>
      <c r="E49" s="54"/>
      <c r="F49" s="54"/>
      <c r="G49" s="1"/>
      <c r="H49" s="32"/>
      <c r="I49" s="1"/>
      <c r="J49" s="1"/>
      <c r="K49" s="1"/>
      <c r="L49" s="1"/>
      <c r="M49" s="31"/>
      <c r="N49" s="1"/>
      <c r="O49" s="32"/>
      <c r="P49" s="1"/>
      <c r="Q49" s="1"/>
      <c r="R49" s="1"/>
      <c r="S49" s="1"/>
      <c r="T49" s="31"/>
    </row>
    <row r="50" spans="1:20" x14ac:dyDescent="0.2">
      <c r="A50" s="1"/>
      <c r="B50" s="54"/>
      <c r="C50" s="54"/>
      <c r="D50" s="54"/>
      <c r="E50" s="54"/>
      <c r="F50" s="54"/>
      <c r="G50" s="1"/>
      <c r="H50" s="41"/>
      <c r="I50" s="42" t="e">
        <f>1-($D$27/(2.7*1000))</f>
        <v>#DIV/0!</v>
      </c>
      <c r="J50" s="43"/>
      <c r="K50" s="43"/>
      <c r="L50" s="43"/>
      <c r="M50" s="44"/>
      <c r="N50" s="1"/>
      <c r="O50" s="41"/>
      <c r="P50" s="42" t="e">
        <f>1-($D$27/(2.7*1000))</f>
        <v>#DIV/0!</v>
      </c>
      <c r="Q50" s="43"/>
      <c r="R50" s="43"/>
      <c r="S50" s="43"/>
      <c r="T50" s="44"/>
    </row>
    <row r="51" spans="1:20" x14ac:dyDescent="0.2">
      <c r="A51" s="1"/>
      <c r="B51" s="54"/>
      <c r="C51" s="54"/>
      <c r="D51" s="54"/>
      <c r="E51" s="54"/>
      <c r="F51" s="5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54"/>
      <c r="C52" s="54"/>
      <c r="D52" s="54"/>
      <c r="E52" s="54"/>
      <c r="F52" s="5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54"/>
      <c r="C53" s="54"/>
      <c r="D53" s="54"/>
      <c r="E53" s="54"/>
      <c r="F53" s="5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</sheetData>
  <mergeCells count="17">
    <mergeCell ref="H38:M38"/>
    <mergeCell ref="O38:T38"/>
    <mergeCell ref="B44:F44"/>
    <mergeCell ref="B45:F53"/>
    <mergeCell ref="C5:I5"/>
    <mergeCell ref="B9:F9"/>
    <mergeCell ref="H10:M10"/>
    <mergeCell ref="O10:T10"/>
    <mergeCell ref="J20:M21"/>
    <mergeCell ref="H24:M24"/>
    <mergeCell ref="O24:T24"/>
    <mergeCell ref="C2:I2"/>
    <mergeCell ref="K2:K4"/>
    <mergeCell ref="L2:P2"/>
    <mergeCell ref="C3:I3"/>
    <mergeCell ref="L3:P3"/>
    <mergeCell ref="C4:I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Prescott</dc:creator>
  <cp:lastModifiedBy>Jillian Prescott</cp:lastModifiedBy>
  <dcterms:created xsi:type="dcterms:W3CDTF">2025-07-30T17:51:03Z</dcterms:created>
  <dcterms:modified xsi:type="dcterms:W3CDTF">2025-07-30T17:52:46Z</dcterms:modified>
</cp:coreProperties>
</file>